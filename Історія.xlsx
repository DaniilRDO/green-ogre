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b7a18957ef0d0466/Desktop/"/>
    </mc:Choice>
  </mc:AlternateContent>
  <xr:revisionPtr revIDLastSave="2" documentId="11_F25DC773A252ABDACC1048E8E91D63045BDE58FE" xr6:coauthVersionLast="47" xr6:coauthVersionMax="47" xr10:uidLastSave="{6B0ADA54-EFCF-43F9-BA9F-9DCEC54AD63D}"/>
  <bookViews>
    <workbookView xWindow="-110" yWindow="-110" windowWidth="25820" windowHeight="13900" activeTab="1" xr2:uid="{00000000-000D-0000-FFFF-FFFF00000000}"/>
  </bookViews>
  <sheets>
    <sheet name="README|ПОСІБНИК КОРИСТУВАЧА" sheetId="2" r:id="rId1"/>
    <sheet name="СКРИЖАЛЬ" sheetId="1" r:id="rId2"/>
    <sheet name="ЗАГАДКА МАГА" sheetId="3" r:id="rId3"/>
    <sheet name="ДВЕРІ БАШТИ" sheetId="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 i="1" l="1"/>
  <c r="P2" i="1"/>
  <c r="Q2" i="1"/>
  <c r="O2" i="1"/>
  <c r="G13" i="1"/>
  <c r="G14" i="1" s="1"/>
  <c r="I13" i="1"/>
  <c r="I14" i="1" s="1"/>
  <c r="K13" i="1"/>
  <c r="K14" i="1" s="1"/>
  <c r="L13" i="1"/>
  <c r="L14" i="1" s="1"/>
  <c r="M13" i="1"/>
  <c r="M14" i="1" s="1"/>
  <c r="N13" i="1"/>
  <c r="N14" i="1" s="1"/>
  <c r="J13" i="1" l="1"/>
  <c r="J14" i="1" s="1"/>
  <c r="H13" i="1"/>
  <c r="H14" i="1" s="1"/>
  <c r="F13" i="1"/>
  <c r="F14" i="1" s="1"/>
</calcChain>
</file>

<file path=xl/sharedStrings.xml><?xml version="1.0" encoding="utf-8"?>
<sst xmlns="http://schemas.openxmlformats.org/spreadsheetml/2006/main" count="26" uniqueCount="26">
  <si>
    <t>А</t>
  </si>
  <si>
    <t>/* Якщо я раптом забуду, як користуватися цим файлом */</t>
  </si>
  <si>
    <t>Натискати можна лише на сірі клітинки</t>
  </si>
  <si>
    <t>Не можна нічого видаляти, дописувати свого</t>
  </si>
  <si>
    <t>Блакитні клітинки для вводу, що в свою чергу відміняє друге правило</t>
  </si>
  <si>
    <t xml:space="preserve">Йти чікто за інструкцією </t>
  </si>
  <si>
    <t>Не використовувати сторонні додатки для вирішення</t>
  </si>
  <si>
    <t xml:space="preserve">
Коли я мандрував степами Великої Імперії, мені зустрівся один старий.
Я одразу помітив його, бо він кинувся під мого коня. 
На ньому був дивний капелюх, а його довга сіра борідка тягнулася за ним, неначе хвіст.
Всупереч його дивакуватому вигляду, він був привітливий та дуже чемний. Одразу вибачився за те що відбулося.
Я спитав куди він прямує і чи не потрібно йому допомоги, більше їз гречності, ніж із бажання плентатися зі старим. Мабуть він це також розумів, тому що посміхнувся у відповідь і сказав: "Мені нічого не треба...", помовчав з півхвилини та зайнявся сміхом. Він був щирим, хоча все ще скидався на сміх божевільного.
- Знав я колись такого доброго молодика - скзав він мені тоді. - Знаю, що у вас, хлопців, однаково в голові. Не турбуйся за сторого. Я тут лише з однієї мети.
Він підвівся на ноги, витрягнув одежу від пилу й поклав руку на гриву мого коня. Кінь, на диво, спокійно спостерігав за ним своїми темними очима.
- Не роби різких рухів, за нами стежать. - сказав він мені і я негайно вхопився за руків'я меча, але старий смикнув мене за руку. Що Я ТОБІ СКАЗАВ! - гнівно прошепотів він.
Я не дістав меча, а лише нахилився до старого, щоб чути його тихі слова. 
- Він намагається зрозуміти, хі-хі. - тихо просміявся старий. - Але не все так просто. Щоб віднайти башту великого багряного змія, треба чимало зусиль. Є багато входів, але лише один вихід, проте все пов'язано павутинням. Якщо йдеш по ньому, то не заблудишся, хоч які страшні потрвори будуть навкруги.
То от що я тобі скажу, ти почуй мої слова, а потім віднайди загублену скрижаль, але доступ до неї підкаже мій лист. Побачити його може тільки той, хто вміє вийти зі свого розуму й покинути своє бездіяльне тіло. Щоб правильно прочитати його, тобі доведеться змінити своє мишлення.
Проте не забувай що важлио й те ще не сказано, але записано і буде віднайдено тут. 
Мій колега чарівник допоможе зрозуміти, якщо ти на правильно шляху. Питай його щоб зрозуміти чи ту правду ти знайшов.
</t>
  </si>
  <si>
    <t xml:space="preserve">Ось те, що я нажаль не встигаю тобі сказати, але цю приказку повторював дід мого діда:
Тінь від веж лягає на старі камені
Архіви мовчать, та пам’ятають усе
Єдине слово важить більше за золото
Між рядками схована істина
Не всі дороги ведуть туди, куди дивишся
Якщо читати правильно — шлях відкриється 
Після цих слів старий зник, закрутився й розчинився.
Останнэ що я почув від нього було:
«Текст — це лише оболонка»
«Вертикаль — теж напрямок»
«Сенс прихований не в рядках»
«Дивись не на слова, а на центр»
«Сонце з заходу сяє, освітлюючи кожен після другий пагорб»
</t>
  </si>
  <si>
    <t>В</t>
  </si>
  <si>
    <t>Д</t>
  </si>
  <si>
    <t>К</t>
  </si>
  <si>
    <t>И</t>
  </si>
  <si>
    <t>І</t>
  </si>
  <si>
    <t>Й</t>
  </si>
  <si>
    <t>Р</t>
  </si>
  <si>
    <t>С</t>
  </si>
  <si>
    <t>Я</t>
  </si>
  <si>
    <t>Я МАЮ 6 СТРАЖІВ</t>
  </si>
  <si>
    <t>ПЕРЕВІРКА СТРАЖА</t>
  </si>
  <si>
    <t>Частина скрижалі стерлася</t>
  </si>
  <si>
    <t>КОЖНА ЦИФРА МАЄ СВОГО СТРАЖА
ЗАГАЛОМ НАС 26
МИ КРОКУЄМО ОДИН ЗА ОДНИМ, А ПРИ З'ЄДНАНІ СТАЄМО ВІЙСЬКОМ
З ЦИМ ВІЙСЬКОМ ЛЮДИ ЗІШТОВХУЮТЬСЯ КОЖЕН ДЕНЬ
ВОНО ВИХОДИТЬ І ЗАХОДИТЬ
ЙОГО МОЖНА ЗОБРАЗИТИ, А МОЖНА Й ПОЧУТИ</t>
  </si>
  <si>
    <t>?</t>
  </si>
  <si>
    <t>Скрижаль говорить ⚔</t>
  </si>
  <si>
    <t>Я вважю тут треба щось написати ❤</t>
  </si>
  <si>
    <t>Розбите серце з уламків прокладе тобі шлях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</si>
</sst>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7" tint="0.59999389629810485"/>
      <name val="Calibri"/>
      <family val="2"/>
      <charset val="204"/>
      <scheme val="minor"/>
    </font>
    <font>
      <b/>
      <i/>
      <sz val="11"/>
      <color rgb="FF00B050"/>
      <name val="Calibri"/>
      <family val="2"/>
      <scheme val="minor"/>
    </font>
    <font>
      <sz val="11"/>
      <color rgb="FF00B050"/>
      <name val="Calibri"/>
      <family val="2"/>
      <scheme val="minor"/>
    </font>
    <font>
      <b/>
      <sz val="11"/>
      <color rgb="FFFFE699"/>
      <name val="Calibri"/>
      <family val="2"/>
      <charset val="204"/>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theme="1"/>
        <bgColor indexed="64"/>
      </patternFill>
    </fill>
    <fill>
      <patternFill patternType="solid">
        <fgColor rgb="FFACA6A2"/>
        <bgColor indexed="64"/>
      </patternFill>
    </fill>
    <fill>
      <patternFill patternType="solid">
        <fgColor rgb="FFBCCAD6"/>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s>
  <cellStyleXfs count="1">
    <xf numFmtId="0" fontId="0" fillId="0" borderId="0"/>
  </cellStyleXfs>
  <cellXfs count="42">
    <xf numFmtId="0" fontId="0" fillId="0" borderId="0" xfId="0"/>
    <xf numFmtId="0" fontId="0" fillId="0" borderId="0" xfId="0" applyAlignment="1"/>
    <xf numFmtId="0" fontId="1" fillId="2" borderId="0" xfId="0" applyFont="1" applyFill="1" applyAlignment="1">
      <alignment horizontal="left" vertical="center" wrapText="1"/>
    </xf>
    <xf numFmtId="0" fontId="1" fillId="2" borderId="0" xfId="0" applyFont="1" applyFill="1"/>
    <xf numFmtId="0" fontId="1" fillId="2" borderId="0" xfId="0" applyFont="1" applyFill="1" applyAlignment="1">
      <alignment wrapText="1"/>
    </xf>
    <xf numFmtId="0" fontId="2" fillId="2" borderId="0" xfId="0" applyFont="1" applyFill="1"/>
    <xf numFmtId="0" fontId="3" fillId="2" borderId="0" xfId="0" applyFont="1" applyFill="1"/>
    <xf numFmtId="0" fontId="4" fillId="2" borderId="0" xfId="0" applyFont="1" applyFill="1" applyAlignment="1">
      <alignment horizontal="left" vertical="center" wrapText="1"/>
    </xf>
    <xf numFmtId="0" fontId="5" fillId="3" borderId="1" xfId="0" applyFont="1" applyFill="1" applyBorder="1" applyAlignment="1"/>
    <xf numFmtId="0" fontId="5" fillId="3" borderId="6" xfId="0" applyFont="1" applyFill="1" applyBorder="1" applyAlignment="1"/>
    <xf numFmtId="0" fontId="5" fillId="3" borderId="0" xfId="0" applyFont="1" applyFill="1" applyBorder="1"/>
    <xf numFmtId="0" fontId="5" fillId="3" borderId="8" xfId="0" applyFont="1" applyFill="1" applyBorder="1" applyAlignment="1">
      <alignment horizontal="center"/>
    </xf>
    <xf numFmtId="0" fontId="5" fillId="3" borderId="9" xfId="0" applyFont="1" applyFill="1" applyBorder="1" applyAlignment="1">
      <alignment horizontal="center"/>
    </xf>
    <xf numFmtId="0" fontId="5" fillId="3" borderId="10" xfId="0" applyFont="1" applyFill="1" applyBorder="1" applyAlignment="1">
      <alignment horizontal="center"/>
    </xf>
    <xf numFmtId="0" fontId="5" fillId="3" borderId="2" xfId="0" applyFont="1" applyFill="1" applyBorder="1"/>
    <xf numFmtId="0" fontId="5" fillId="3" borderId="19" xfId="0" applyFont="1" applyFill="1" applyBorder="1"/>
    <xf numFmtId="0" fontId="5" fillId="3" borderId="1" xfId="0" applyFont="1" applyFill="1" applyBorder="1"/>
    <xf numFmtId="0" fontId="5" fillId="3" borderId="14" xfId="0" applyFont="1" applyFill="1" applyBorder="1"/>
    <xf numFmtId="0" fontId="5" fillId="3" borderId="15" xfId="0" applyFont="1" applyFill="1" applyBorder="1"/>
    <xf numFmtId="0" fontId="5" fillId="3" borderId="16" xfId="0" applyFont="1" applyFill="1" applyBorder="1"/>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6" fillId="3" borderId="18" xfId="0" applyFont="1" applyFill="1" applyBorder="1"/>
    <xf numFmtId="0" fontId="5" fillId="3" borderId="0" xfId="0" applyFont="1" applyFill="1" applyBorder="1" applyAlignment="1">
      <alignment horizontal="right"/>
    </xf>
    <xf numFmtId="0" fontId="6" fillId="3" borderId="5" xfId="0" applyFont="1" applyFill="1" applyBorder="1"/>
    <xf numFmtId="0" fontId="6" fillId="3" borderId="6" xfId="0" applyFont="1" applyFill="1" applyBorder="1"/>
    <xf numFmtId="0" fontId="6" fillId="3" borderId="7" xfId="0" applyFont="1" applyFill="1" applyBorder="1"/>
    <xf numFmtId="0" fontId="5" fillId="3" borderId="0" xfId="0" applyFont="1" applyFill="1"/>
    <xf numFmtId="0" fontId="5" fillId="3" borderId="1" xfId="0" applyFont="1" applyFill="1" applyBorder="1" applyAlignment="1">
      <alignment horizontal="center" vertical="center" wrapText="1"/>
    </xf>
    <xf numFmtId="0" fontId="5" fillId="4" borderId="11" xfId="0" applyFont="1" applyFill="1" applyBorder="1"/>
    <xf numFmtId="0" fontId="5" fillId="4" borderId="12" xfId="0" applyFont="1" applyFill="1" applyBorder="1"/>
    <xf numFmtId="0" fontId="5" fillId="4" borderId="13" xfId="0" applyFont="1" applyFill="1" applyBorder="1"/>
    <xf numFmtId="0" fontId="5" fillId="4" borderId="4" xfId="0" applyFont="1" applyFill="1" applyBorder="1"/>
    <xf numFmtId="0" fontId="5" fillId="4" borderId="14" xfId="0" applyFont="1" applyFill="1" applyBorder="1"/>
    <xf numFmtId="0" fontId="5" fillId="4" borderId="15" xfId="0" applyFont="1" applyFill="1" applyBorder="1"/>
    <xf numFmtId="0" fontId="5" fillId="4" borderId="5" xfId="0" applyFont="1" applyFill="1" applyBorder="1"/>
    <xf numFmtId="0" fontId="5" fillId="4" borderId="7" xfId="0" applyFont="1" applyFill="1" applyBorder="1"/>
    <xf numFmtId="0" fontId="5" fillId="4" borderId="5" xfId="0" applyFont="1" applyFill="1" applyBorder="1" applyAlignment="1">
      <alignment horizontal="right"/>
    </xf>
    <xf numFmtId="0" fontId="5" fillId="4" borderId="6" xfId="0" applyFont="1" applyFill="1" applyBorder="1" applyAlignment="1">
      <alignment horizontal="right"/>
    </xf>
    <xf numFmtId="0" fontId="5" fillId="4" borderId="7" xfId="0" applyFont="1" applyFill="1" applyBorder="1" applyAlignment="1">
      <alignment horizontal="right"/>
    </xf>
    <xf numFmtId="0" fontId="5" fillId="4" borderId="17" xfId="0" applyFont="1" applyFill="1" applyBorder="1" applyAlignment="1">
      <alignment horizontal="right"/>
    </xf>
  </cellXfs>
  <cellStyles count="1">
    <cellStyle name="Обычный" xfId="0" builtinId="0"/>
  </cellStyles>
  <dxfs count="0"/>
  <tableStyles count="0" defaultTableStyle="TableStyleMedium2" defaultPivotStyle="PivotStyleLight16"/>
  <colors>
    <mruColors>
      <color rgb="FFBCCAD6"/>
      <color rgb="FFA8CCEA"/>
      <color rgb="FFACA6A2"/>
      <color rgb="FFFFE699"/>
      <color rgb="FFD3D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1B27-19FF-40E6-8643-46DED6DE4760}">
  <dimension ref="A1:A7"/>
  <sheetViews>
    <sheetView zoomScale="120" zoomScaleNormal="120" workbookViewId="0">
      <selection activeCell="C12" sqref="C12"/>
    </sheetView>
  </sheetViews>
  <sheetFormatPr defaultRowHeight="14.5" x14ac:dyDescent="0.35"/>
  <cols>
    <col min="1" max="1" width="62.6328125" style="6" bestFit="1" customWidth="1"/>
    <col min="2" max="16384" width="8.7265625" style="6"/>
  </cols>
  <sheetData>
    <row r="1" spans="1:1" x14ac:dyDescent="0.35">
      <c r="A1" s="5" t="s">
        <v>1</v>
      </c>
    </row>
    <row r="3" spans="1:1" x14ac:dyDescent="0.35">
      <c r="A3" s="6" t="s">
        <v>2</v>
      </c>
    </row>
    <row r="4" spans="1:1" x14ac:dyDescent="0.35">
      <c r="A4" s="6" t="s">
        <v>3</v>
      </c>
    </row>
    <row r="5" spans="1:1" x14ac:dyDescent="0.35">
      <c r="A5" s="6" t="s">
        <v>5</v>
      </c>
    </row>
    <row r="6" spans="1:1" x14ac:dyDescent="0.35">
      <c r="A6" s="6" t="s">
        <v>4</v>
      </c>
    </row>
    <row r="7" spans="1:1" x14ac:dyDescent="0.35">
      <c r="A7" s="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34"/>
  <sheetViews>
    <sheetView tabSelected="1" zoomScale="115" zoomScaleNormal="115" workbookViewId="0">
      <selection activeCell="M10" sqref="M10"/>
    </sheetView>
  </sheetViews>
  <sheetFormatPr defaultRowHeight="14.5" x14ac:dyDescent="0.35"/>
  <cols>
    <col min="1" max="1" width="24.08984375" style="10" bestFit="1" customWidth="1"/>
    <col min="2" max="2" width="2.90625" style="10" bestFit="1" customWidth="1"/>
    <col min="3" max="3" width="8.7265625" style="10"/>
    <col min="4" max="4" width="10.453125" style="10" customWidth="1"/>
    <col min="5" max="5" width="8.7265625" style="10"/>
    <col min="6" max="6" width="7.6328125" style="10" customWidth="1"/>
    <col min="7" max="7" width="6.453125" style="10" customWidth="1"/>
    <col min="8" max="15" width="8.7265625" style="10"/>
    <col min="16" max="16" width="27.36328125" style="10" customWidth="1"/>
    <col min="17" max="88" width="8.7265625" style="10"/>
    <col min="89" max="97" width="8.7265625" style="10" hidden="1" customWidth="1"/>
    <col min="98" max="16384" width="8.7265625" style="10"/>
  </cols>
  <sheetData>
    <row r="1" spans="1:97" ht="15" thickBot="1" x14ac:dyDescent="0.4">
      <c r="A1" s="8" t="s">
        <v>20</v>
      </c>
      <c r="B1" s="9"/>
      <c r="I1" s="11" t="s">
        <v>18</v>
      </c>
      <c r="J1" s="12"/>
      <c r="K1" s="12"/>
      <c r="L1" s="12"/>
      <c r="M1" s="12"/>
      <c r="N1" s="13"/>
    </row>
    <row r="2" spans="1:97" ht="15" thickBot="1" x14ac:dyDescent="0.4">
      <c r="A2" s="14" t="s">
        <v>0</v>
      </c>
      <c r="B2" s="33" t="s">
        <v>22</v>
      </c>
      <c r="I2" s="30"/>
      <c r="J2" s="31"/>
      <c r="K2" s="31"/>
      <c r="L2" s="31"/>
      <c r="M2" s="31"/>
      <c r="N2" s="32"/>
      <c r="O2" s="15" t="str">
        <f>IF(NOT(I2=0),I2,"")</f>
        <v/>
      </c>
      <c r="P2" s="15" t="str">
        <f t="shared" ref="P2:Q2" si="0">IF(NOT(J2=0),J2,"")</f>
        <v/>
      </c>
      <c r="Q2" s="16" t="str">
        <f t="shared" si="0"/>
        <v/>
      </c>
    </row>
    <row r="3" spans="1:97" x14ac:dyDescent="0.35">
      <c r="A3" s="34"/>
      <c r="B3" s="35"/>
    </row>
    <row r="4" spans="1:97" x14ac:dyDescent="0.35">
      <c r="A4" s="34"/>
      <c r="B4" s="35"/>
      <c r="CK4" s="10" t="s">
        <v>9</v>
      </c>
      <c r="CL4" s="10" t="s">
        <v>13</v>
      </c>
      <c r="CM4" s="10" t="s">
        <v>10</v>
      </c>
      <c r="CN4" s="10" t="s">
        <v>11</v>
      </c>
      <c r="CO4" s="10" t="s">
        <v>15</v>
      </c>
      <c r="CP4" s="10" t="s">
        <v>12</v>
      </c>
      <c r="CQ4" s="10" t="s">
        <v>14</v>
      </c>
      <c r="CR4" s="10" t="s">
        <v>16</v>
      </c>
      <c r="CS4" s="10" t="s">
        <v>17</v>
      </c>
    </row>
    <row r="5" spans="1:97" ht="15" thickBot="1" x14ac:dyDescent="0.4">
      <c r="A5" s="34"/>
      <c r="B5" s="35"/>
      <c r="CK5" s="10">
        <v>3</v>
      </c>
      <c r="CL5" s="10">
        <v>12</v>
      </c>
      <c r="CM5" s="10">
        <v>6</v>
      </c>
      <c r="CN5" s="10">
        <v>15</v>
      </c>
      <c r="CO5" s="10">
        <v>21</v>
      </c>
      <c r="CP5" s="10">
        <v>11</v>
      </c>
      <c r="CQ5" s="10">
        <v>14</v>
      </c>
      <c r="CR5" s="10">
        <v>22</v>
      </c>
      <c r="CS5" s="10">
        <v>32</v>
      </c>
    </row>
    <row r="6" spans="1:97" ht="15" thickBot="1" x14ac:dyDescent="0.4">
      <c r="A6" s="34"/>
      <c r="B6" s="35"/>
      <c r="P6" s="19" t="s">
        <v>19</v>
      </c>
    </row>
    <row r="7" spans="1:97" x14ac:dyDescent="0.35">
      <c r="A7" s="34"/>
      <c r="B7" s="35"/>
      <c r="F7" s="20" t="s">
        <v>24</v>
      </c>
      <c r="G7" s="21"/>
      <c r="H7" s="21"/>
      <c r="I7" s="21"/>
      <c r="J7" s="21"/>
      <c r="K7" s="21"/>
      <c r="L7" s="21"/>
      <c r="M7" s="21"/>
      <c r="N7" s="22"/>
      <c r="P7" s="23" t="str">
        <f>IFERROR(
INDEX(B:B,MATCH(P8,A:A,0)),"")</f>
        <v/>
      </c>
    </row>
    <row r="8" spans="1:97" ht="15" thickBot="1" x14ac:dyDescent="0.4">
      <c r="A8" s="34"/>
      <c r="B8" s="35"/>
      <c r="F8" s="38"/>
      <c r="G8" s="39"/>
      <c r="H8" s="39"/>
      <c r="I8" s="39"/>
      <c r="J8" s="39"/>
      <c r="K8" s="39"/>
      <c r="L8" s="39"/>
      <c r="M8" s="39"/>
      <c r="N8" s="40"/>
      <c r="O8" s="24"/>
      <c r="P8" s="41"/>
      <c r="Q8" s="24"/>
    </row>
    <row r="9" spans="1:97" ht="15" thickBot="1" x14ac:dyDescent="0.4">
      <c r="A9" s="34"/>
      <c r="B9" s="35"/>
    </row>
    <row r="10" spans="1:97" ht="73" thickBot="1" x14ac:dyDescent="0.4">
      <c r="A10" s="34"/>
      <c r="B10" s="35"/>
      <c r="D10" s="29" t="s">
        <v>25</v>
      </c>
    </row>
    <row r="11" spans="1:97" ht="15" thickBot="1" x14ac:dyDescent="0.4">
      <c r="A11" s="34"/>
      <c r="B11" s="35"/>
    </row>
    <row r="12" spans="1:97" x14ac:dyDescent="0.35">
      <c r="A12" s="34"/>
      <c r="B12" s="35"/>
      <c r="F12" s="20" t="s">
        <v>23</v>
      </c>
      <c r="G12" s="21"/>
      <c r="H12" s="21"/>
      <c r="I12" s="21"/>
      <c r="J12" s="21"/>
      <c r="K12" s="21"/>
      <c r="L12" s="21"/>
      <c r="M12" s="21"/>
      <c r="N12" s="22"/>
    </row>
    <row r="13" spans="1:97" hidden="1" x14ac:dyDescent="0.35">
      <c r="A13" s="34"/>
      <c r="B13" s="35"/>
      <c r="F13" s="17">
        <f>F8-CK5</f>
        <v>-3</v>
      </c>
      <c r="G13" s="10">
        <f>G8-CL5</f>
        <v>-12</v>
      </c>
      <c r="H13" s="10">
        <f>32+(H8-CM5)</f>
        <v>26</v>
      </c>
      <c r="I13" s="10">
        <f>I8-CN5</f>
        <v>-15</v>
      </c>
      <c r="J13" s="10">
        <f>32+(J8-CO5)</f>
        <v>11</v>
      </c>
      <c r="K13" s="10">
        <f>K8-CP5</f>
        <v>-11</v>
      </c>
      <c r="L13" s="10">
        <f>L8-CQ5</f>
        <v>-14</v>
      </c>
      <c r="M13" s="10">
        <f>M8-CR5</f>
        <v>-22</v>
      </c>
      <c r="N13" s="18">
        <f>32+(N8-CS5)</f>
        <v>0</v>
      </c>
    </row>
    <row r="14" spans="1:97" ht="15" thickBot="1" x14ac:dyDescent="0.4">
      <c r="A14" s="34"/>
      <c r="B14" s="35"/>
      <c r="F14" s="25" t="str">
        <f>IFERROR(
INDEX($A:$A,MATCH(F13,$B:$B,0)),"")</f>
        <v/>
      </c>
      <c r="G14" s="26" t="str">
        <f t="shared" ref="G14:N14" si="1">IFERROR(
INDEX($A:$A,MATCH(G13,$B:$B,0)),"")</f>
        <v/>
      </c>
      <c r="H14" s="26" t="str">
        <f t="shared" si="1"/>
        <v/>
      </c>
      <c r="I14" s="26" t="str">
        <f t="shared" si="1"/>
        <v/>
      </c>
      <c r="J14" s="26" t="str">
        <f t="shared" si="1"/>
        <v/>
      </c>
      <c r="K14" s="26" t="str">
        <f t="shared" si="1"/>
        <v/>
      </c>
      <c r="L14" s="26" t="str">
        <f t="shared" si="1"/>
        <v/>
      </c>
      <c r="M14" s="26" t="str">
        <f t="shared" si="1"/>
        <v/>
      </c>
      <c r="N14" s="27" t="str">
        <f t="shared" si="1"/>
        <v/>
      </c>
    </row>
    <row r="15" spans="1:97" x14ac:dyDescent="0.35">
      <c r="A15" s="34"/>
      <c r="B15" s="35"/>
      <c r="F15" s="28"/>
      <c r="G15" s="28"/>
    </row>
    <row r="16" spans="1:97" ht="15" thickBot="1" x14ac:dyDescent="0.4">
      <c r="A16" s="34"/>
      <c r="B16" s="35"/>
    </row>
    <row r="17" spans="1:16" ht="174.5" thickBot="1" x14ac:dyDescent="0.4">
      <c r="A17" s="34"/>
      <c r="B17" s="35"/>
      <c r="P17" s="29" t="s">
        <v>21</v>
      </c>
    </row>
    <row r="18" spans="1:16" x14ac:dyDescent="0.35">
      <c r="A18" s="34"/>
      <c r="B18" s="35"/>
    </row>
    <row r="19" spans="1:16" x14ac:dyDescent="0.35">
      <c r="A19" s="34"/>
      <c r="B19" s="35"/>
    </row>
    <row r="20" spans="1:16" x14ac:dyDescent="0.35">
      <c r="A20" s="34"/>
      <c r="B20" s="35"/>
    </row>
    <row r="21" spans="1:16" x14ac:dyDescent="0.35">
      <c r="A21" s="34"/>
      <c r="B21" s="35"/>
    </row>
    <row r="22" spans="1:16" x14ac:dyDescent="0.35">
      <c r="A22" s="34"/>
      <c r="B22" s="35"/>
    </row>
    <row r="23" spans="1:16" x14ac:dyDescent="0.35">
      <c r="A23" s="34"/>
      <c r="B23" s="35"/>
    </row>
    <row r="24" spans="1:16" x14ac:dyDescent="0.35">
      <c r="A24" s="34"/>
      <c r="B24" s="35"/>
    </row>
    <row r="25" spans="1:16" x14ac:dyDescent="0.35">
      <c r="A25" s="34"/>
      <c r="B25" s="35"/>
    </row>
    <row r="26" spans="1:16" x14ac:dyDescent="0.35">
      <c r="A26" s="34"/>
      <c r="B26" s="35"/>
    </row>
    <row r="27" spans="1:16" x14ac:dyDescent="0.35">
      <c r="A27" s="34"/>
      <c r="B27" s="35"/>
    </row>
    <row r="28" spans="1:16" x14ac:dyDescent="0.35">
      <c r="A28" s="34"/>
      <c r="B28" s="35"/>
    </row>
    <row r="29" spans="1:16" x14ac:dyDescent="0.35">
      <c r="A29" s="34"/>
      <c r="B29" s="35"/>
    </row>
    <row r="30" spans="1:16" x14ac:dyDescent="0.35">
      <c r="A30" s="34"/>
      <c r="B30" s="35"/>
    </row>
    <row r="31" spans="1:16" x14ac:dyDescent="0.35">
      <c r="A31" s="34"/>
      <c r="B31" s="35"/>
    </row>
    <row r="32" spans="1:16" x14ac:dyDescent="0.35">
      <c r="A32" s="34"/>
      <c r="B32" s="35"/>
    </row>
    <row r="33" spans="1:2" x14ac:dyDescent="0.35">
      <c r="A33" s="34"/>
      <c r="B33" s="35"/>
    </row>
    <row r="34" spans="1:2" ht="15" thickBot="1" x14ac:dyDescent="0.4">
      <c r="A34" s="36"/>
      <c r="B34" s="37"/>
    </row>
  </sheetData>
  <dataConsolidate/>
  <mergeCells count="3">
    <mergeCell ref="I1:N1"/>
    <mergeCell ref="F12:N12"/>
    <mergeCell ref="F7:N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979EA-17D7-4623-AE67-7E6A71F5567E}">
  <dimension ref="A1:A2"/>
  <sheetViews>
    <sheetView zoomScale="70" zoomScaleNormal="70" workbookViewId="0"/>
  </sheetViews>
  <sheetFormatPr defaultRowHeight="14.5" x14ac:dyDescent="0.35"/>
  <cols>
    <col min="1" max="1" width="143.453125" style="4" customWidth="1"/>
    <col min="2" max="16384" width="8.7265625" style="3"/>
  </cols>
  <sheetData>
    <row r="1" spans="1:1" ht="409.5" customHeight="1" x14ac:dyDescent="0.35">
      <c r="A1" s="7" t="s">
        <v>7</v>
      </c>
    </row>
    <row r="2" spans="1:1" ht="231" customHeight="1" x14ac:dyDescent="0.35">
      <c r="A2" s="2"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B498-B097-4DA5-A3C8-B7C65E5AA8C7}">
  <dimension ref="A1"/>
  <sheetViews>
    <sheetView workbookViewId="0">
      <selection activeCell="B11" sqref="B11"/>
    </sheetView>
  </sheetViews>
  <sheetFormatPr defaultRowHeight="14.5" x14ac:dyDescent="0.35"/>
  <sheetData>
    <row r="1" spans="1:1" x14ac:dyDescent="0.35">
      <c r="A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README|ПОСІБНИК КОРИСТУВАЧА</vt:lpstr>
      <vt:lpstr>СКРИЖАЛЬ</vt:lpstr>
      <vt:lpstr>ЗАГАДКА МАГА</vt:lpstr>
      <vt:lpstr>ДВЕРІ БАШТИ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Даниил Рябенков</dc:creator>
  <cp:lastModifiedBy>Даниил Рябенков</cp:lastModifiedBy>
  <dcterms:created xsi:type="dcterms:W3CDTF">2015-06-05T18:17:20Z</dcterms:created>
  <dcterms:modified xsi:type="dcterms:W3CDTF">2026-01-19T13:50:03Z</dcterms:modified>
</cp:coreProperties>
</file>